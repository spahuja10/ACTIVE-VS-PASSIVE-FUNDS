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ial Modeling\"/>
    </mc:Choice>
  </mc:AlternateContent>
  <xr:revisionPtr revIDLastSave="0" documentId="8_{62757FED-91C5-4F54-BD01-67D4301BF7D6}" xr6:coauthVersionLast="47" xr6:coauthVersionMax="47" xr10:uidLastSave="{00000000-0000-0000-0000-000000000000}"/>
  <bookViews>
    <workbookView xWindow="-110" yWindow="-110" windowWidth="19420" windowHeight="11500" firstSheet="1" activeTab="1" xr2:uid="{2B0E792F-154C-43BC-A1C8-232C9B63CEF4}"/>
  </bookViews>
  <sheets>
    <sheet name="PPT - Final" sheetId="3" r:id="rId1"/>
    <sheet name="PPT - explanation" sheetId="2" r:id="rId2"/>
    <sheet name="Sheet1" sheetId="1" r:id="rId3"/>
  </sheets>
  <definedNames>
    <definedName name="_xlnm._FilterDatabase" localSheetId="1" hidden="1">'PPT - explanation'!$A$18:$A$18</definedName>
    <definedName name="_xlnm._FilterDatabase" localSheetId="0" hidden="1">'PPT - Final'!$B$18:$B$18</definedName>
    <definedName name="_xlnm._FilterDatabase" localSheetId="2" hidden="1">Sheet1!$A$17:$E$17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F24" i="1"/>
  <c r="B26" i="2"/>
  <c r="D15" i="3"/>
  <c r="C15" i="3"/>
  <c r="C19" i="3"/>
  <c r="G13" i="3"/>
  <c r="F13" i="3"/>
  <c r="G3" i="3"/>
  <c r="G15" i="3" s="1"/>
  <c r="F3" i="3"/>
  <c r="G11" i="3"/>
  <c r="F11" i="3"/>
  <c r="G14" i="3"/>
  <c r="F14" i="3"/>
  <c r="G7" i="3"/>
  <c r="F7" i="3"/>
  <c r="G6" i="3"/>
  <c r="F6" i="3"/>
  <c r="G4" i="3"/>
  <c r="F4" i="3"/>
  <c r="G9" i="3"/>
  <c r="F9" i="3"/>
  <c r="G10" i="3"/>
  <c r="F10" i="3"/>
  <c r="G5" i="3"/>
  <c r="F5" i="3"/>
  <c r="G8" i="3"/>
  <c r="F8" i="3"/>
  <c r="G12" i="3"/>
  <c r="F12" i="3"/>
  <c r="B19" i="2"/>
  <c r="C14" i="2"/>
  <c r="B14" i="2"/>
  <c r="B30" i="2"/>
  <c r="B21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F28" i="1"/>
  <c r="F27" i="1"/>
  <c r="F26" i="1"/>
  <c r="F25" i="1"/>
  <c r="F20" i="1"/>
  <c r="F18" i="1"/>
  <c r="H14" i="1"/>
  <c r="G14" i="1"/>
  <c r="G3" i="1"/>
  <c r="G4" i="1"/>
  <c r="G5" i="1"/>
  <c r="G6" i="1"/>
  <c r="G7" i="1"/>
  <c r="G8" i="1"/>
  <c r="G9" i="1"/>
  <c r="G10" i="1"/>
  <c r="G11" i="1"/>
  <c r="G12" i="1"/>
  <c r="G13" i="1"/>
  <c r="G2" i="1"/>
  <c r="F14" i="1"/>
  <c r="F3" i="1"/>
  <c r="F4" i="1"/>
  <c r="F5" i="1"/>
  <c r="F6" i="1"/>
  <c r="F7" i="1"/>
  <c r="F8" i="1"/>
  <c r="F9" i="1"/>
  <c r="F10" i="1"/>
  <c r="F11" i="1"/>
  <c r="F12" i="1"/>
  <c r="F13" i="1"/>
  <c r="F2" i="1"/>
  <c r="F15" i="3" l="1"/>
  <c r="H15" i="3" s="1"/>
  <c r="E14" i="2"/>
  <c r="F14" i="2"/>
  <c r="G14" i="2" s="1"/>
  <c r="F17" i="3" l="1"/>
  <c r="F18" i="3" s="1"/>
  <c r="F19" i="3" s="1"/>
</calcChain>
</file>

<file path=xl/sharedStrings.xml><?xml version="1.0" encoding="utf-8"?>
<sst xmlns="http://schemas.openxmlformats.org/spreadsheetml/2006/main" count="106" uniqueCount="60">
  <si>
    <t xml:space="preserve">Sectorwise holdings </t>
  </si>
  <si>
    <t>VOO
 (a)</t>
  </si>
  <si>
    <t>FCNTX
 (b)</t>
  </si>
  <si>
    <t>Sector Return 
(c )</t>
  </si>
  <si>
    <t>V00 Return wrt sector wise return
 (a*c)</t>
  </si>
  <si>
    <t>FCNTX Return wrt sector wise return 
(b*c)</t>
  </si>
  <si>
    <t>Technology</t>
  </si>
  <si>
    <t>Financial Services</t>
  </si>
  <si>
    <t>Consumer Discretionary</t>
  </si>
  <si>
    <t>Healthcare</t>
  </si>
  <si>
    <t>Industrials</t>
  </si>
  <si>
    <t>Communication Services</t>
  </si>
  <si>
    <t>Energy</t>
  </si>
  <si>
    <t>Consumer Staples</t>
  </si>
  <si>
    <t>Real Estate</t>
  </si>
  <si>
    <t>Basic Materials</t>
  </si>
  <si>
    <t>Utilities</t>
  </si>
  <si>
    <t xml:space="preserve">Other </t>
  </si>
  <si>
    <t>TOTAL</t>
  </si>
  <si>
    <t>FCNTX  Last 1 Yr Return</t>
  </si>
  <si>
    <t xml:space="preserve">Asset allocation </t>
  </si>
  <si>
    <t>VOO Last 1 Yr Return</t>
  </si>
  <si>
    <t xml:space="preserve">Security selection </t>
  </si>
  <si>
    <t xml:space="preserve">Active Return </t>
  </si>
  <si>
    <t>Active Return as per above</t>
  </si>
  <si>
    <t>VOO (a)</t>
  </si>
  <si>
    <t>FCNTX (b)</t>
  </si>
  <si>
    <t>Sector Return (c )</t>
  </si>
  <si>
    <t>V00 - Return wrt sector wise return (a*c)</t>
  </si>
  <si>
    <t>FCNTX - Return wrt sector wise return (b*c)</t>
  </si>
  <si>
    <t xml:space="preserve"> ASEET ACC + SECU SECLECTION </t>
  </si>
  <si>
    <t xml:space="preserve">asset allocation </t>
  </si>
  <si>
    <t xml:space="preserve">security selection </t>
  </si>
  <si>
    <t>Expense ratio of VOO</t>
  </si>
  <si>
    <t>MANAGEMENT FEES</t>
  </si>
  <si>
    <t>Expense ratio of fidelity</t>
  </si>
  <si>
    <t>sharpe ratio VOO</t>
  </si>
  <si>
    <t>(return - rf ) / sd of voo</t>
  </si>
  <si>
    <t xml:space="preserve">SD FCNTX </t>
  </si>
  <si>
    <t xml:space="preserve">active risk </t>
  </si>
  <si>
    <t>SD OF FD - SD OF VOO</t>
  </si>
  <si>
    <t>SD VOO</t>
  </si>
  <si>
    <t>information ratio FCNTX</t>
  </si>
  <si>
    <t>ACTIVE RETURN / ACTIVE RISK</t>
  </si>
  <si>
    <t xml:space="preserve">net profit of VOO </t>
  </si>
  <si>
    <t xml:space="preserve">net profit of fidelity </t>
  </si>
  <si>
    <t>VOO</t>
  </si>
  <si>
    <t>Sector-wise holdings</t>
  </si>
  <si>
    <t>FCNTX</t>
  </si>
  <si>
    <t xml:space="preserve">Return </t>
  </si>
  <si>
    <t xml:space="preserve">asset alloction V </t>
  </si>
  <si>
    <t xml:space="preserve">other </t>
  </si>
  <si>
    <t>Other</t>
  </si>
  <si>
    <t>fidelity  LAST 1 YR</t>
  </si>
  <si>
    <t>voo</t>
  </si>
  <si>
    <t xml:space="preserve">active return </t>
  </si>
  <si>
    <t>expense ratio of VOO</t>
  </si>
  <si>
    <t>expense ratio of fidelity</t>
  </si>
  <si>
    <t xml:space="preserve">sharpe ratio </t>
  </si>
  <si>
    <t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</si>
</sst>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%"/>
  </numFmts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i/>
      <sz val="10"/>
      <name val="Verdana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0" fontId="0" fillId="0" borderId="0" xfId="0" applyNumberFormat="1"/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horizontal="right" vertic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0" fontId="3" fillId="2" borderId="1" xfId="0" applyNumberFormat="1" applyFont="1" applyFill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10" fontId="1" fillId="0" borderId="1" xfId="0" applyNumberFormat="1" applyFont="1" applyBorder="1" applyAlignment="1">
      <alignment horizontal="right" vertical="center" wrapText="1"/>
    </xf>
    <xf numFmtId="10" fontId="0" fillId="0" borderId="1" xfId="0" applyNumberFormat="1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2" fontId="0" fillId="0" borderId="1" xfId="0" applyNumberFormat="1" applyBorder="1"/>
    <xf numFmtId="0" fontId="0" fillId="0" borderId="0" xfId="0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4" fillId="0" borderId="0" xfId="0" applyNumberFormat="1" applyFont="1" applyAlignment="1">
      <alignment horizont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10" fontId="0" fillId="0" borderId="6" xfId="0" applyNumberFormat="1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4" fillId="0" borderId="7" xfId="0" applyFont="1" applyBorder="1"/>
    <xf numFmtId="10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0" fontId="4" fillId="0" borderId="9" xfId="0" applyNumberFormat="1" applyFont="1" applyBorder="1" applyAlignment="1">
      <alignment horizontal="center"/>
    </xf>
    <xf numFmtId="0" fontId="4" fillId="3" borderId="2" xfId="0" applyFont="1" applyFill="1" applyBorder="1"/>
    <xf numFmtId="10" fontId="0" fillId="0" borderId="4" xfId="0" applyNumberFormat="1" applyBorder="1" applyAlignment="1">
      <alignment horizontal="center"/>
    </xf>
    <xf numFmtId="0" fontId="4" fillId="3" borderId="5" xfId="0" applyFont="1" applyFill="1" applyBorder="1"/>
    <xf numFmtId="0" fontId="4" fillId="3" borderId="7" xfId="0" applyFont="1" applyFill="1" applyBorder="1"/>
    <xf numFmtId="10" fontId="0" fillId="0" borderId="9" xfId="0" applyNumberFormat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10" fontId="0" fillId="4" borderId="1" xfId="0" applyNumberFormat="1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B41C-623E-4826-A145-9D6D9AAFFCF4}">
  <dimension ref="B1:H19"/>
  <sheetViews>
    <sheetView workbookViewId="0">
      <selection activeCell="D14" sqref="D14"/>
    </sheetView>
  </sheetViews>
  <sheetFormatPr defaultRowHeight="14.45"/>
  <cols>
    <col min="2" max="2" width="21.42578125" bestFit="1" customWidth="1"/>
    <col min="3" max="3" width="11" style="10" customWidth="1"/>
    <col min="4" max="4" width="13.5703125" style="10" customWidth="1"/>
    <col min="5" max="5" width="23.28515625" style="10" bestFit="1" customWidth="1"/>
    <col min="6" max="6" width="13.85546875" style="10" customWidth="1"/>
    <col min="7" max="7" width="12.85546875" style="10" customWidth="1"/>
    <col min="8" max="8" width="12.42578125" style="10" bestFit="1" customWidth="1"/>
  </cols>
  <sheetData>
    <row r="1" spans="2:8" ht="15" thickBot="1"/>
    <row r="2" spans="2:8" s="24" customFormat="1" ht="57.95">
      <c r="B2" s="29" t="s">
        <v>0</v>
      </c>
      <c r="C2" s="30" t="s">
        <v>1</v>
      </c>
      <c r="D2" s="30" t="s">
        <v>2</v>
      </c>
      <c r="E2" s="30" t="s">
        <v>3</v>
      </c>
      <c r="F2" s="30" t="s">
        <v>4</v>
      </c>
      <c r="G2" s="31" t="s">
        <v>5</v>
      </c>
      <c r="H2" s="26"/>
    </row>
    <row r="3" spans="2:8">
      <c r="B3" s="32" t="s">
        <v>6</v>
      </c>
      <c r="C3" s="16">
        <v>0.33019999999999999</v>
      </c>
      <c r="D3" s="27">
        <v>0.24490000000000001</v>
      </c>
      <c r="E3" s="16">
        <v>0.28770000000000001</v>
      </c>
      <c r="F3" s="16">
        <f t="shared" ref="F3:F14" si="0">C3*E3</f>
        <v>9.4998540000000006E-2</v>
      </c>
      <c r="G3" s="33">
        <f t="shared" ref="G3:G12" si="1">D3*E3</f>
        <v>7.045773000000001E-2</v>
      </c>
    </row>
    <row r="4" spans="2:8">
      <c r="B4" s="32" t="s">
        <v>7</v>
      </c>
      <c r="C4" s="16">
        <v>0.12889999999999999</v>
      </c>
      <c r="D4" s="27">
        <v>0.1764</v>
      </c>
      <c r="E4" s="16">
        <v>0.15459999999999999</v>
      </c>
      <c r="F4" s="16">
        <f t="shared" si="0"/>
        <v>1.9927939999999995E-2</v>
      </c>
      <c r="G4" s="33">
        <f t="shared" si="1"/>
        <v>2.7271439999999997E-2</v>
      </c>
    </row>
    <row r="5" spans="2:8">
      <c r="B5" s="34" t="s">
        <v>8</v>
      </c>
      <c r="C5" s="16">
        <v>0.1021</v>
      </c>
      <c r="D5" s="27">
        <v>0.1043</v>
      </c>
      <c r="E5" s="16">
        <v>0.111</v>
      </c>
      <c r="F5" s="16">
        <f t="shared" si="0"/>
        <v>1.13331E-2</v>
      </c>
      <c r="G5" s="33">
        <f t="shared" si="1"/>
        <v>1.15773E-2</v>
      </c>
    </row>
    <row r="6" spans="2:8">
      <c r="B6" s="32" t="s">
        <v>9</v>
      </c>
      <c r="C6" s="16">
        <v>0.1118</v>
      </c>
      <c r="D6" s="27">
        <v>0.10199999999999999</v>
      </c>
      <c r="E6" s="16">
        <v>9.8400000000000001E-2</v>
      </c>
      <c r="F6" s="16">
        <f t="shared" si="0"/>
        <v>1.100112E-2</v>
      </c>
      <c r="G6" s="33">
        <f t="shared" si="1"/>
        <v>1.00368E-2</v>
      </c>
    </row>
    <row r="7" spans="2:8">
      <c r="B7" s="32" t="s">
        <v>10</v>
      </c>
      <c r="C7" s="16">
        <v>7.5399999999999995E-2</v>
      </c>
      <c r="D7" s="27">
        <v>7.46E-2</v>
      </c>
      <c r="E7" s="16">
        <v>8.7400000000000005E-2</v>
      </c>
      <c r="F7" s="16">
        <f t="shared" si="0"/>
        <v>6.5899599999999997E-3</v>
      </c>
      <c r="G7" s="33">
        <f t="shared" si="1"/>
        <v>6.5200400000000004E-3</v>
      </c>
    </row>
    <row r="8" spans="2:8">
      <c r="B8" s="32" t="s">
        <v>11</v>
      </c>
      <c r="C8" s="16">
        <v>9.11E-2</v>
      </c>
      <c r="D8" s="27">
        <v>0.22700000000000001</v>
      </c>
      <c r="E8" s="16">
        <v>8.5099999999999995E-2</v>
      </c>
      <c r="F8" s="16">
        <f t="shared" si="0"/>
        <v>7.7526099999999992E-3</v>
      </c>
      <c r="G8" s="33">
        <f t="shared" si="1"/>
        <v>1.93177E-2</v>
      </c>
    </row>
    <row r="9" spans="2:8">
      <c r="B9" s="32" t="s">
        <v>12</v>
      </c>
      <c r="C9" s="16">
        <v>3.3700000000000001E-2</v>
      </c>
      <c r="D9" s="27">
        <v>1.3299999999999999E-2</v>
      </c>
      <c r="E9" s="16">
        <v>4.7E-2</v>
      </c>
      <c r="F9" s="16">
        <f t="shared" si="0"/>
        <v>1.5839000000000001E-3</v>
      </c>
      <c r="G9" s="33">
        <f t="shared" si="1"/>
        <v>6.2509999999999996E-4</v>
      </c>
    </row>
    <row r="10" spans="2:8">
      <c r="B10" s="34" t="s">
        <v>13</v>
      </c>
      <c r="C10" s="16">
        <v>5.7599999999999998E-2</v>
      </c>
      <c r="D10" s="27">
        <v>1.8800000000000001E-2</v>
      </c>
      <c r="E10" s="16">
        <v>5.4300000000000001E-2</v>
      </c>
      <c r="F10" s="16">
        <f t="shared" si="0"/>
        <v>3.1276799999999999E-3</v>
      </c>
      <c r="G10" s="33">
        <f t="shared" si="1"/>
        <v>1.0208400000000001E-3</v>
      </c>
    </row>
    <row r="11" spans="2:8">
      <c r="B11" s="32" t="s">
        <v>14</v>
      </c>
      <c r="C11" s="16">
        <v>2.2800000000000001E-2</v>
      </c>
      <c r="D11" s="27">
        <v>8.9999999999999998E-4</v>
      </c>
      <c r="E11" s="16">
        <v>2.5499999999999998E-2</v>
      </c>
      <c r="F11" s="16">
        <f t="shared" si="0"/>
        <v>5.8140000000000004E-4</v>
      </c>
      <c r="G11" s="33">
        <f t="shared" si="1"/>
        <v>2.2949999999999999E-5</v>
      </c>
    </row>
    <row r="12" spans="2:8">
      <c r="B12" s="32" t="s">
        <v>15</v>
      </c>
      <c r="C12" s="16">
        <v>1.9300000000000001E-2</v>
      </c>
      <c r="D12" s="27">
        <v>1.4500000000000001E-2</v>
      </c>
      <c r="E12" s="16">
        <v>2.53E-2</v>
      </c>
      <c r="F12" s="16">
        <f t="shared" si="0"/>
        <v>4.8829000000000006E-4</v>
      </c>
      <c r="G12" s="33">
        <f t="shared" si="1"/>
        <v>3.6685E-4</v>
      </c>
    </row>
    <row r="13" spans="2:8">
      <c r="B13" s="32" t="s">
        <v>16</v>
      </c>
      <c r="C13" s="16">
        <v>2.7E-2</v>
      </c>
      <c r="D13" s="27">
        <v>8.3000000000000001E-3</v>
      </c>
      <c r="E13" s="16">
        <v>2.3599999999999999E-2</v>
      </c>
      <c r="F13" s="16">
        <f t="shared" si="0"/>
        <v>6.3719999999999998E-4</v>
      </c>
      <c r="G13" s="33">
        <f t="shared" ref="G13" si="2">D13*E13</f>
        <v>1.9588E-4</v>
      </c>
    </row>
    <row r="14" spans="2:8">
      <c r="B14" s="32" t="s">
        <v>17</v>
      </c>
      <c r="C14" s="16">
        <v>1E-4</v>
      </c>
      <c r="D14" s="27">
        <v>1.4999999999999999E-2</v>
      </c>
      <c r="E14" s="16">
        <v>0</v>
      </c>
      <c r="F14" s="16">
        <f t="shared" si="0"/>
        <v>0</v>
      </c>
      <c r="G14" s="33">
        <f>D14*E14</f>
        <v>0</v>
      </c>
    </row>
    <row r="15" spans="2:8" ht="15" thickBot="1">
      <c r="B15" s="35" t="s">
        <v>18</v>
      </c>
      <c r="C15" s="36">
        <f>SUM(C3:C14)</f>
        <v>0.99999999999999989</v>
      </c>
      <c r="D15" s="36">
        <f>SUM(D3:D14)</f>
        <v>1</v>
      </c>
      <c r="E15" s="37"/>
      <c r="F15" s="36">
        <f>SUM(F3:F14)</f>
        <v>0.15802174000000002</v>
      </c>
      <c r="G15" s="38">
        <f>SUM(G3:G14)</f>
        <v>0.14741262999999999</v>
      </c>
      <c r="H15" s="28">
        <f>G15-F15</f>
        <v>-1.0609110000000033E-2</v>
      </c>
    </row>
    <row r="16" spans="2:8" ht="15" thickBot="1"/>
    <row r="17" spans="2:6">
      <c r="B17" s="39" t="s">
        <v>19</v>
      </c>
      <c r="C17" s="40">
        <v>0.35970000000000002</v>
      </c>
      <c r="E17" s="44" t="s">
        <v>20</v>
      </c>
      <c r="F17" s="40">
        <f>H15</f>
        <v>-1.0609110000000033E-2</v>
      </c>
    </row>
    <row r="18" spans="2:6">
      <c r="B18" s="41" t="s">
        <v>21</v>
      </c>
      <c r="C18" s="33">
        <v>0.30859999999999999</v>
      </c>
      <c r="E18" s="45" t="s">
        <v>22</v>
      </c>
      <c r="F18" s="33">
        <f>C19-F17</f>
        <v>6.1709110000000067E-2</v>
      </c>
    </row>
    <row r="19" spans="2:6" ht="15" thickBot="1">
      <c r="B19" s="42" t="s">
        <v>23</v>
      </c>
      <c r="C19" s="43">
        <f>C17-C18</f>
        <v>5.1100000000000034E-2</v>
      </c>
      <c r="E19" s="46" t="s">
        <v>24</v>
      </c>
      <c r="F19" s="43">
        <f>SUM(F17:F18)</f>
        <v>5.1100000000000034E-2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9647-6B39-4430-A9A4-90C2978E7741}">
  <dimension ref="A1:G113"/>
  <sheetViews>
    <sheetView tabSelected="1" workbookViewId="0">
      <selection activeCell="G14" sqref="G14"/>
    </sheetView>
  </sheetViews>
  <sheetFormatPr defaultRowHeight="14.45"/>
  <cols>
    <col min="1" max="1" width="24.140625" bestFit="1" customWidth="1"/>
    <col min="2" max="2" width="30.7109375" style="10" customWidth="1"/>
    <col min="3" max="3" width="22.85546875" customWidth="1"/>
    <col min="4" max="4" width="22.5703125" customWidth="1"/>
    <col min="5" max="5" width="13.85546875" customWidth="1"/>
    <col min="6" max="6" width="12.85546875" customWidth="1"/>
    <col min="7" max="7" width="12.42578125" bestFit="1" customWidth="1"/>
  </cols>
  <sheetData>
    <row r="1" spans="1:7" s="24" customFormat="1" ht="57.95">
      <c r="A1" s="21" t="s">
        <v>0</v>
      </c>
      <c r="B1" s="22" t="s">
        <v>25</v>
      </c>
      <c r="C1" s="21" t="s">
        <v>26</v>
      </c>
      <c r="D1" s="21" t="s">
        <v>27</v>
      </c>
      <c r="E1" s="23" t="s">
        <v>28</v>
      </c>
      <c r="F1" s="23" t="s">
        <v>29</v>
      </c>
    </row>
    <row r="2" spans="1:7">
      <c r="A2" s="15" t="s">
        <v>15</v>
      </c>
      <c r="B2" s="16">
        <v>1.9300000000000001E-2</v>
      </c>
      <c r="C2" s="17">
        <v>1.4500000000000001E-2</v>
      </c>
      <c r="D2" s="18">
        <v>2.53E-2</v>
      </c>
      <c r="E2" s="18">
        <f t="shared" ref="E2:E13" si="0">B2*D2</f>
        <v>4.8829000000000006E-4</v>
      </c>
      <c r="F2" s="18">
        <f>C2*D2</f>
        <v>3.6685E-4</v>
      </c>
    </row>
    <row r="3" spans="1:7">
      <c r="A3" s="15" t="s">
        <v>11</v>
      </c>
      <c r="B3" s="16">
        <v>9.11E-2</v>
      </c>
      <c r="C3" s="17">
        <v>0.22700000000000001</v>
      </c>
      <c r="D3" s="18">
        <v>8.5099999999999995E-2</v>
      </c>
      <c r="E3" s="18">
        <f t="shared" si="0"/>
        <v>7.7526099999999992E-3</v>
      </c>
      <c r="F3" s="18">
        <f t="shared" ref="F3:F13" si="1">C3*D3</f>
        <v>1.93177E-2</v>
      </c>
    </row>
    <row r="4" spans="1:7">
      <c r="A4" s="19" t="s">
        <v>8</v>
      </c>
      <c r="B4" s="16">
        <v>0.1021</v>
      </c>
      <c r="C4" s="17">
        <v>0.1043</v>
      </c>
      <c r="D4" s="18">
        <v>0.111</v>
      </c>
      <c r="E4" s="18">
        <f t="shared" si="0"/>
        <v>1.13331E-2</v>
      </c>
      <c r="F4" s="18">
        <f t="shared" si="1"/>
        <v>1.15773E-2</v>
      </c>
    </row>
    <row r="5" spans="1:7">
      <c r="A5" s="19" t="s">
        <v>13</v>
      </c>
      <c r="B5" s="16">
        <v>5.7599999999999998E-2</v>
      </c>
      <c r="C5" s="17">
        <v>1.8800000000000001E-2</v>
      </c>
      <c r="D5" s="18">
        <v>5.4300000000000001E-2</v>
      </c>
      <c r="E5" s="18">
        <f t="shared" si="0"/>
        <v>3.1276799999999999E-3</v>
      </c>
      <c r="F5" s="18">
        <f t="shared" si="1"/>
        <v>1.0208400000000001E-3</v>
      </c>
    </row>
    <row r="6" spans="1:7">
      <c r="A6" s="15" t="s">
        <v>12</v>
      </c>
      <c r="B6" s="16">
        <v>3.3700000000000001E-2</v>
      </c>
      <c r="C6" s="17">
        <v>1.3299999999999999E-2</v>
      </c>
      <c r="D6" s="18">
        <v>4.7E-2</v>
      </c>
      <c r="E6" s="18">
        <f t="shared" si="0"/>
        <v>1.5839000000000001E-3</v>
      </c>
      <c r="F6" s="18">
        <f t="shared" si="1"/>
        <v>6.2509999999999996E-4</v>
      </c>
    </row>
    <row r="7" spans="1:7">
      <c r="A7" s="15" t="s">
        <v>7</v>
      </c>
      <c r="B7" s="16">
        <v>0.12889999999999999</v>
      </c>
      <c r="C7" s="17">
        <v>0.1764</v>
      </c>
      <c r="D7" s="18">
        <v>0.15459999999999999</v>
      </c>
      <c r="E7" s="18">
        <f t="shared" si="0"/>
        <v>1.9927939999999995E-2</v>
      </c>
      <c r="F7" s="18">
        <f t="shared" si="1"/>
        <v>2.7271439999999997E-2</v>
      </c>
    </row>
    <row r="8" spans="1:7">
      <c r="A8" s="15" t="s">
        <v>9</v>
      </c>
      <c r="B8" s="16">
        <v>0.1118</v>
      </c>
      <c r="C8" s="17">
        <v>0.10199999999999999</v>
      </c>
      <c r="D8" s="18">
        <v>9.8400000000000001E-2</v>
      </c>
      <c r="E8" s="18">
        <f t="shared" si="0"/>
        <v>1.100112E-2</v>
      </c>
      <c r="F8" s="18">
        <f t="shared" si="1"/>
        <v>1.00368E-2</v>
      </c>
    </row>
    <row r="9" spans="1:7">
      <c r="A9" s="15" t="s">
        <v>10</v>
      </c>
      <c r="B9" s="16">
        <v>7.5399999999999995E-2</v>
      </c>
      <c r="C9" s="17">
        <v>7.46E-2</v>
      </c>
      <c r="D9" s="18">
        <v>8.7400000000000005E-2</v>
      </c>
      <c r="E9" s="18">
        <f t="shared" si="0"/>
        <v>6.5899599999999997E-3</v>
      </c>
      <c r="F9" s="18">
        <f t="shared" si="1"/>
        <v>6.5200400000000004E-3</v>
      </c>
    </row>
    <row r="10" spans="1:7">
      <c r="A10" s="15" t="s">
        <v>17</v>
      </c>
      <c r="B10" s="16">
        <v>1E-4</v>
      </c>
      <c r="C10" s="17">
        <v>1.4999999999999999E-2</v>
      </c>
      <c r="D10" s="18">
        <v>0</v>
      </c>
      <c r="E10" s="18">
        <f t="shared" si="0"/>
        <v>0</v>
      </c>
      <c r="F10" s="18">
        <f t="shared" si="1"/>
        <v>0</v>
      </c>
    </row>
    <row r="11" spans="1:7">
      <c r="A11" s="15" t="s">
        <v>14</v>
      </c>
      <c r="B11" s="16">
        <v>2.2800000000000001E-2</v>
      </c>
      <c r="C11" s="17">
        <v>8.9999999999999998E-4</v>
      </c>
      <c r="D11" s="18">
        <v>2.5499999999999998E-2</v>
      </c>
      <c r="E11" s="18">
        <f t="shared" si="0"/>
        <v>5.8140000000000004E-4</v>
      </c>
      <c r="F11" s="18">
        <f t="shared" si="1"/>
        <v>2.2949999999999999E-5</v>
      </c>
    </row>
    <row r="12" spans="1:7">
      <c r="A12" s="15" t="s">
        <v>6</v>
      </c>
      <c r="B12" s="16">
        <v>0.33019999999999999</v>
      </c>
      <c r="C12" s="17">
        <v>0.24490000000000001</v>
      </c>
      <c r="D12" s="18">
        <v>0.28770000000000001</v>
      </c>
      <c r="E12" s="18">
        <f t="shared" si="0"/>
        <v>9.4998540000000006E-2</v>
      </c>
      <c r="F12" s="18">
        <f t="shared" si="1"/>
        <v>7.045773000000001E-2</v>
      </c>
    </row>
    <row r="13" spans="1:7">
      <c r="A13" s="15" t="s">
        <v>16</v>
      </c>
      <c r="B13" s="16">
        <v>2.7E-2</v>
      </c>
      <c r="C13" s="17">
        <v>8.3000000000000001E-3</v>
      </c>
      <c r="D13" s="18">
        <v>2.3599999999999999E-2</v>
      </c>
      <c r="E13" s="18">
        <f t="shared" si="0"/>
        <v>6.3719999999999998E-4</v>
      </c>
      <c r="F13" s="18">
        <f t="shared" si="1"/>
        <v>1.9588E-4</v>
      </c>
    </row>
    <row r="14" spans="1:7">
      <c r="A14" s="15" t="s">
        <v>18</v>
      </c>
      <c r="B14" s="16">
        <f>SUM(B2:B13)</f>
        <v>1</v>
      </c>
      <c r="C14" s="16">
        <f>SUM(C2:C13)</f>
        <v>1</v>
      </c>
      <c r="D14" s="15"/>
      <c r="E14" s="18">
        <f>SUM(E2:E13)</f>
        <v>0.15802174000000002</v>
      </c>
      <c r="F14" s="18">
        <f>SUM(F2:F13)</f>
        <v>0.14741263000000002</v>
      </c>
      <c r="G14" s="1">
        <f>F14-E14</f>
        <v>-1.0609110000000005E-2</v>
      </c>
    </row>
    <row r="15" spans="1:7">
      <c r="A15" s="15"/>
      <c r="B15" s="20"/>
      <c r="C15" s="15"/>
      <c r="D15" s="15"/>
      <c r="E15" s="15"/>
      <c r="F15" s="15"/>
    </row>
    <row r="17" spans="1:6">
      <c r="A17" s="15" t="s">
        <v>19</v>
      </c>
      <c r="B17" s="18">
        <v>0.35970000000000002</v>
      </c>
    </row>
    <row r="18" spans="1:6">
      <c r="A18" s="15" t="s">
        <v>21</v>
      </c>
      <c r="B18" s="18">
        <v>0.30859999999999999</v>
      </c>
    </row>
    <row r="19" spans="1:6">
      <c r="A19" s="15" t="s">
        <v>23</v>
      </c>
      <c r="B19" s="18">
        <f>B17-B18</f>
        <v>5.1100000000000034E-2</v>
      </c>
      <c r="C19" t="s">
        <v>30</v>
      </c>
    </row>
    <row r="20" spans="1:6">
      <c r="A20" s="15" t="s">
        <v>31</v>
      </c>
      <c r="B20" s="18">
        <v>-1.0609110000000005E-2</v>
      </c>
    </row>
    <row r="21" spans="1:6">
      <c r="A21" s="15" t="s">
        <v>32</v>
      </c>
      <c r="B21" s="18">
        <f>B19-B20</f>
        <v>6.1709110000000039E-2</v>
      </c>
    </row>
    <row r="22" spans="1:6">
      <c r="B22"/>
    </row>
    <row r="23" spans="1:6">
      <c r="A23" s="15" t="s">
        <v>33</v>
      </c>
      <c r="B23" s="47">
        <v>2.9999999999999997E-4</v>
      </c>
      <c r="C23" t="s">
        <v>34</v>
      </c>
    </row>
    <row r="24" spans="1:6">
      <c r="A24" s="15" t="s">
        <v>35</v>
      </c>
      <c r="B24" s="47">
        <v>3.8999999999999998E-3</v>
      </c>
    </row>
    <row r="25" spans="1:6">
      <c r="A25" s="15"/>
      <c r="B25" s="25"/>
    </row>
    <row r="26" spans="1:6">
      <c r="A26" s="15" t="s">
        <v>36</v>
      </c>
      <c r="B26" s="25">
        <f>(30.86-4.58)/17.41</f>
        <v>1.5094773118897187</v>
      </c>
      <c r="C26" s="48" t="s">
        <v>37</v>
      </c>
      <c r="E26" t="s">
        <v>38</v>
      </c>
      <c r="F26">
        <v>18.829999999999998</v>
      </c>
    </row>
    <row r="27" spans="1:6">
      <c r="A27" s="15" t="s">
        <v>39</v>
      </c>
      <c r="B27" s="25">
        <f>18.83- 17.41</f>
        <v>1.4199999999999982</v>
      </c>
      <c r="C27" t="s">
        <v>40</v>
      </c>
      <c r="E27" t="s">
        <v>41</v>
      </c>
      <c r="F27">
        <v>17.41</v>
      </c>
    </row>
    <row r="28" spans="1:6">
      <c r="A28" s="15" t="s">
        <v>42</v>
      </c>
      <c r="B28" s="25">
        <f>5.11/1.42</f>
        <v>3.598591549295775</v>
      </c>
      <c r="C28" t="s">
        <v>43</v>
      </c>
    </row>
    <row r="29" spans="1:6">
      <c r="A29" s="15" t="s">
        <v>44</v>
      </c>
      <c r="B29" s="18">
        <f>B18-B23</f>
        <v>0.30829999999999996</v>
      </c>
    </row>
    <row r="30" spans="1:6">
      <c r="A30" s="15" t="s">
        <v>45</v>
      </c>
      <c r="B30" s="18">
        <f>B17-B24</f>
        <v>0.35580000000000001</v>
      </c>
    </row>
    <row r="31" spans="1:6" ht="15.6">
      <c r="A31" s="13"/>
      <c r="B31" s="14"/>
    </row>
    <row r="32" spans="1:6" ht="15.6">
      <c r="A32" s="13"/>
      <c r="B32" s="14"/>
    </row>
    <row r="33" spans="1:2" ht="15.6">
      <c r="A33" s="13"/>
      <c r="B33" s="14"/>
    </row>
    <row r="34" spans="1:2" ht="15.6">
      <c r="A34" s="13"/>
      <c r="B34" s="14"/>
    </row>
    <row r="35" spans="1:2" ht="15.6">
      <c r="A35" s="13"/>
      <c r="B35" s="14"/>
    </row>
    <row r="36" spans="1:2" ht="15.6">
      <c r="A36" s="13"/>
      <c r="B36" s="14"/>
    </row>
    <row r="37" spans="1:2" ht="15.6">
      <c r="A37" s="13"/>
      <c r="B37" s="14"/>
    </row>
    <row r="38" spans="1:2" ht="15.6">
      <c r="A38" s="13"/>
      <c r="B38" s="14"/>
    </row>
    <row r="39" spans="1:2" ht="15.6">
      <c r="A39" s="13"/>
      <c r="B39" s="14"/>
    </row>
    <row r="40" spans="1:2" ht="15.6">
      <c r="A40" s="13"/>
      <c r="B40" s="14"/>
    </row>
    <row r="41" spans="1:2" ht="15.6">
      <c r="A41" s="13"/>
      <c r="B41" s="14"/>
    </row>
    <row r="42" spans="1:2" ht="15.6">
      <c r="A42" s="13"/>
      <c r="B42" s="14"/>
    </row>
    <row r="43" spans="1:2" ht="15.6">
      <c r="A43" s="13"/>
      <c r="B43" s="14"/>
    </row>
    <row r="44" spans="1:2" ht="15.6">
      <c r="A44" s="13"/>
      <c r="B44" s="14"/>
    </row>
    <row r="45" spans="1:2" ht="15.6">
      <c r="A45" s="13"/>
      <c r="B45" s="14"/>
    </row>
    <row r="46" spans="1:2" ht="15.6">
      <c r="A46" s="13"/>
      <c r="B46" s="14"/>
    </row>
    <row r="47" spans="1:2" ht="15.6">
      <c r="A47" s="13"/>
      <c r="B47" s="14"/>
    </row>
    <row r="48" spans="1:2" ht="15.6">
      <c r="A48" s="13"/>
      <c r="B48" s="14"/>
    </row>
    <row r="49" spans="1:2" ht="15.6">
      <c r="A49" s="13"/>
      <c r="B49" s="14"/>
    </row>
    <row r="50" spans="1:2" ht="15.6">
      <c r="A50" s="13"/>
      <c r="B50" s="14"/>
    </row>
    <row r="51" spans="1:2" ht="15.6">
      <c r="A51" s="13"/>
      <c r="B51" s="14"/>
    </row>
    <row r="52" spans="1:2" ht="15.6">
      <c r="A52" s="13"/>
      <c r="B52" s="14"/>
    </row>
    <row r="53" spans="1:2" ht="15.6">
      <c r="A53" s="13"/>
      <c r="B53" s="14"/>
    </row>
    <row r="54" spans="1:2" ht="15.6">
      <c r="A54" s="13"/>
      <c r="B54" s="14"/>
    </row>
    <row r="55" spans="1:2" ht="15.6">
      <c r="A55" s="13"/>
      <c r="B55" s="14"/>
    </row>
    <row r="56" spans="1:2" ht="15.6">
      <c r="A56" s="13"/>
      <c r="B56" s="14"/>
    </row>
    <row r="57" spans="1:2" ht="15.6">
      <c r="A57" s="13"/>
      <c r="B57" s="14"/>
    </row>
    <row r="58" spans="1:2" ht="15.6">
      <c r="A58" s="13"/>
      <c r="B58" s="14"/>
    </row>
    <row r="59" spans="1:2" ht="15.6">
      <c r="A59" s="13"/>
      <c r="B59" s="14"/>
    </row>
    <row r="60" spans="1:2" ht="15.6">
      <c r="A60" s="13"/>
      <c r="B60" s="14"/>
    </row>
    <row r="61" spans="1:2" ht="15.6">
      <c r="A61" s="13"/>
      <c r="B61" s="14"/>
    </row>
    <row r="62" spans="1:2" ht="15.6">
      <c r="A62" s="13"/>
      <c r="B62" s="14"/>
    </row>
    <row r="63" spans="1:2" ht="15.6">
      <c r="A63" s="13"/>
      <c r="B63" s="14"/>
    </row>
    <row r="64" spans="1:2" ht="15.6">
      <c r="A64" s="13"/>
      <c r="B64" s="14"/>
    </row>
    <row r="65" spans="1:2" ht="15.6">
      <c r="A65" s="13"/>
      <c r="B65" s="14"/>
    </row>
    <row r="66" spans="1:2" ht="15.6">
      <c r="A66" s="13"/>
      <c r="B66" s="14"/>
    </row>
    <row r="67" spans="1:2" ht="15.6">
      <c r="A67" s="13"/>
      <c r="B67" s="14"/>
    </row>
    <row r="68" spans="1:2" ht="15.6">
      <c r="A68" s="13"/>
      <c r="B68" s="14"/>
    </row>
    <row r="69" spans="1:2" ht="15.6">
      <c r="A69" s="13"/>
      <c r="B69" s="14"/>
    </row>
    <row r="70" spans="1:2" ht="15.6">
      <c r="A70" s="13"/>
      <c r="B70" s="14"/>
    </row>
    <row r="71" spans="1:2" ht="15.6">
      <c r="A71" s="13"/>
      <c r="B71" s="14"/>
    </row>
    <row r="72" spans="1:2" ht="15.6">
      <c r="A72" s="13"/>
      <c r="B72" s="14"/>
    </row>
    <row r="73" spans="1:2" ht="15.6">
      <c r="A73" s="13"/>
      <c r="B73" s="14"/>
    </row>
    <row r="74" spans="1:2" ht="15.6">
      <c r="A74" s="13"/>
      <c r="B74" s="14"/>
    </row>
    <row r="75" spans="1:2" ht="15.6">
      <c r="A75" s="13"/>
      <c r="B75" s="14"/>
    </row>
    <row r="76" spans="1:2" ht="15.6">
      <c r="A76" s="13"/>
      <c r="B76" s="14"/>
    </row>
    <row r="77" spans="1:2" ht="15.6">
      <c r="A77" s="13"/>
      <c r="B77" s="14"/>
    </row>
    <row r="78" spans="1:2" ht="15.6">
      <c r="A78" s="13"/>
      <c r="B78" s="14"/>
    </row>
    <row r="79" spans="1:2" ht="15.6">
      <c r="A79" s="13"/>
      <c r="B79" s="14"/>
    </row>
    <row r="80" spans="1:2" ht="15.6">
      <c r="A80" s="13"/>
      <c r="B80" s="14"/>
    </row>
    <row r="81" spans="1:2" ht="15.6">
      <c r="A81" s="13"/>
      <c r="B81" s="14"/>
    </row>
    <row r="82" spans="1:2" ht="15.6">
      <c r="A82" s="13"/>
      <c r="B82" s="14"/>
    </row>
    <row r="83" spans="1:2" ht="15.6">
      <c r="A83" s="13"/>
      <c r="B83" s="14"/>
    </row>
    <row r="84" spans="1:2" ht="15.6">
      <c r="A84" s="13"/>
      <c r="B84" s="14"/>
    </row>
    <row r="85" spans="1:2" ht="15.6">
      <c r="A85" s="13"/>
      <c r="B85" s="14"/>
    </row>
    <row r="86" spans="1:2" ht="15.6">
      <c r="A86" s="13"/>
      <c r="B86" s="14"/>
    </row>
    <row r="87" spans="1:2" ht="15.6">
      <c r="A87" s="13"/>
      <c r="B87" s="14"/>
    </row>
    <row r="88" spans="1:2" ht="15.6">
      <c r="A88" s="13"/>
      <c r="B88" s="14"/>
    </row>
    <row r="89" spans="1:2" ht="15.6">
      <c r="A89" s="13"/>
      <c r="B89" s="14"/>
    </row>
    <row r="90" spans="1:2" ht="15.6">
      <c r="A90" s="13"/>
      <c r="B90" s="14"/>
    </row>
    <row r="91" spans="1:2" ht="15.6">
      <c r="A91" s="13"/>
      <c r="B91" s="14"/>
    </row>
    <row r="92" spans="1:2" ht="15.6">
      <c r="A92" s="13"/>
      <c r="B92" s="14"/>
    </row>
    <row r="93" spans="1:2" ht="15.6">
      <c r="A93" s="13"/>
      <c r="B93" s="14"/>
    </row>
    <row r="94" spans="1:2" ht="15.6">
      <c r="A94" s="13"/>
      <c r="B94" s="14"/>
    </row>
    <row r="95" spans="1:2" ht="15.6">
      <c r="A95" s="13"/>
      <c r="B95" s="14"/>
    </row>
    <row r="96" spans="1:2" ht="15.6">
      <c r="A96" s="13"/>
      <c r="B96" s="14"/>
    </row>
    <row r="97" spans="1:2" ht="15.6">
      <c r="A97" s="13"/>
      <c r="B97" s="14"/>
    </row>
    <row r="98" spans="1:2" ht="15.6">
      <c r="A98" s="13"/>
      <c r="B98" s="14"/>
    </row>
    <row r="99" spans="1:2" ht="15.6">
      <c r="A99" s="13"/>
      <c r="B99" s="14"/>
    </row>
    <row r="100" spans="1:2" ht="15.6">
      <c r="A100" s="13"/>
      <c r="B100" s="14"/>
    </row>
    <row r="101" spans="1:2" ht="15.6">
      <c r="A101" s="13"/>
      <c r="B101" s="14"/>
    </row>
    <row r="102" spans="1:2" ht="15.6">
      <c r="A102" s="13"/>
      <c r="B102" s="14"/>
    </row>
    <row r="103" spans="1:2" ht="15.6">
      <c r="A103" s="13"/>
      <c r="B103" s="14"/>
    </row>
    <row r="104" spans="1:2" ht="15.6">
      <c r="A104" s="13"/>
      <c r="B104" s="14"/>
    </row>
    <row r="105" spans="1:2" ht="15.6">
      <c r="A105" s="13"/>
      <c r="B105" s="14"/>
    </row>
    <row r="106" spans="1:2" ht="15.6">
      <c r="A106" s="13"/>
      <c r="B106" s="14"/>
    </row>
    <row r="107" spans="1:2" ht="15.6">
      <c r="A107" s="13"/>
      <c r="B107" s="14"/>
    </row>
    <row r="108" spans="1:2" ht="15.6">
      <c r="A108" s="13"/>
      <c r="B108" s="14"/>
    </row>
    <row r="109" spans="1:2" ht="15.6">
      <c r="A109" s="13"/>
      <c r="B109" s="14"/>
    </row>
    <row r="110" spans="1:2" ht="15.6">
      <c r="A110" s="13"/>
      <c r="B110" s="14"/>
    </row>
    <row r="111" spans="1:2" ht="15.6">
      <c r="A111" s="13"/>
      <c r="B111" s="14"/>
    </row>
    <row r="112" spans="1:2" ht="15.6">
      <c r="A112" s="13"/>
      <c r="B112" s="14"/>
    </row>
    <row r="113" spans="1:2" ht="15.6">
      <c r="A113" s="13"/>
      <c r="B11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F0AB-745B-44E0-B839-32C525D66666}">
  <dimension ref="A1:H113"/>
  <sheetViews>
    <sheetView topLeftCell="B8" workbookViewId="0">
      <selection activeCell="F25" sqref="F25"/>
    </sheetView>
  </sheetViews>
  <sheetFormatPr defaultRowHeight="14.45"/>
  <cols>
    <col min="1" max="1" width="24.140625" bestFit="1" customWidth="1"/>
    <col min="2" max="2" width="30.7109375" style="10" customWidth="1"/>
    <col min="3" max="3" width="30.28515625" style="10" customWidth="1"/>
    <col min="4" max="4" width="22.85546875" customWidth="1"/>
    <col min="5" max="5" width="22.5703125" customWidth="1"/>
    <col min="6" max="6" width="23" customWidth="1"/>
    <col min="7" max="7" width="17.85546875" customWidth="1"/>
    <col min="8" max="8" width="12.42578125" bestFit="1" customWidth="1"/>
  </cols>
  <sheetData>
    <row r="1" spans="1:8">
      <c r="A1" t="s">
        <v>0</v>
      </c>
      <c r="B1" s="10" t="s">
        <v>46</v>
      </c>
      <c r="C1" s="10" t="s">
        <v>47</v>
      </c>
      <c r="D1" t="s">
        <v>48</v>
      </c>
      <c r="E1" t="s">
        <v>49</v>
      </c>
      <c r="F1" t="s">
        <v>50</v>
      </c>
      <c r="G1" t="s">
        <v>48</v>
      </c>
    </row>
    <row r="2" spans="1:8">
      <c r="A2" t="s">
        <v>15</v>
      </c>
      <c r="B2" s="11">
        <v>1.9300000000000001E-2</v>
      </c>
      <c r="C2" s="10" t="s">
        <v>15</v>
      </c>
      <c r="D2" s="3">
        <v>1.4500000000000001E-2</v>
      </c>
      <c r="E2" s="1">
        <v>2.53E-2</v>
      </c>
      <c r="F2" s="8">
        <f>B2*E2</f>
        <v>4.8829000000000006E-4</v>
      </c>
      <c r="G2" s="8">
        <f>D2*E2</f>
        <v>3.6685E-4</v>
      </c>
    </row>
    <row r="3" spans="1:8">
      <c r="A3" t="s">
        <v>11</v>
      </c>
      <c r="B3" s="11">
        <v>9.11E-2</v>
      </c>
      <c r="C3" s="12" t="s">
        <v>11</v>
      </c>
      <c r="D3" s="3">
        <v>0.22700000000000001</v>
      </c>
      <c r="E3" s="1">
        <v>8.5099999999999995E-2</v>
      </c>
      <c r="F3" s="8">
        <f t="shared" ref="F3:F13" si="0">B3*E3</f>
        <v>7.7526099999999992E-3</v>
      </c>
      <c r="G3" s="8">
        <f t="shared" ref="G3:G13" si="1">D3*E3</f>
        <v>1.93177E-2</v>
      </c>
    </row>
    <row r="4" spans="1:8">
      <c r="A4" s="2" t="s">
        <v>8</v>
      </c>
      <c r="B4" s="11">
        <v>0.1021</v>
      </c>
      <c r="C4" s="12" t="s">
        <v>8</v>
      </c>
      <c r="D4" s="3">
        <v>0.1043</v>
      </c>
      <c r="E4" s="1">
        <v>0.111</v>
      </c>
      <c r="F4" s="8">
        <f t="shared" si="0"/>
        <v>1.13331E-2</v>
      </c>
      <c r="G4" s="8">
        <f t="shared" si="1"/>
        <v>1.15773E-2</v>
      </c>
    </row>
    <row r="5" spans="1:8">
      <c r="A5" s="2" t="s">
        <v>13</v>
      </c>
      <c r="B5" s="11">
        <v>5.7599999999999998E-2</v>
      </c>
      <c r="C5" s="12" t="s">
        <v>13</v>
      </c>
      <c r="D5" s="3">
        <v>1.8800000000000001E-2</v>
      </c>
      <c r="E5" s="1">
        <v>5.4300000000000001E-2</v>
      </c>
      <c r="F5" s="8">
        <f t="shared" si="0"/>
        <v>3.1276799999999999E-3</v>
      </c>
      <c r="G5" s="8">
        <f t="shared" si="1"/>
        <v>1.0208400000000001E-3</v>
      </c>
    </row>
    <row r="6" spans="1:8">
      <c r="A6" t="s">
        <v>12</v>
      </c>
      <c r="B6" s="11">
        <v>3.3700000000000001E-2</v>
      </c>
      <c r="C6" s="12" t="s">
        <v>12</v>
      </c>
      <c r="D6" s="3">
        <v>1.3299999999999999E-2</v>
      </c>
      <c r="E6" s="1">
        <v>4.7E-2</v>
      </c>
      <c r="F6" s="8">
        <f t="shared" si="0"/>
        <v>1.5839000000000001E-3</v>
      </c>
      <c r="G6" s="8">
        <f t="shared" si="1"/>
        <v>6.2509999999999996E-4</v>
      </c>
    </row>
    <row r="7" spans="1:8">
      <c r="A7" t="s">
        <v>7</v>
      </c>
      <c r="B7" s="11">
        <v>0.12889999999999999</v>
      </c>
      <c r="C7" s="10" t="s">
        <v>7</v>
      </c>
      <c r="D7" s="3">
        <v>0.1764</v>
      </c>
      <c r="E7" s="1">
        <v>0.15459999999999999</v>
      </c>
      <c r="F7" s="8">
        <f t="shared" si="0"/>
        <v>1.9927939999999995E-2</v>
      </c>
      <c r="G7" s="8">
        <f t="shared" si="1"/>
        <v>2.7271439999999997E-2</v>
      </c>
    </row>
    <row r="8" spans="1:8">
      <c r="A8" t="s">
        <v>9</v>
      </c>
      <c r="B8" s="11">
        <v>0.1118</v>
      </c>
      <c r="C8" s="10" t="s">
        <v>9</v>
      </c>
      <c r="D8" s="3">
        <v>0.10199999999999999</v>
      </c>
      <c r="E8" s="1">
        <v>9.8400000000000001E-2</v>
      </c>
      <c r="F8" s="8">
        <f t="shared" si="0"/>
        <v>1.100112E-2</v>
      </c>
      <c r="G8" s="8">
        <f t="shared" si="1"/>
        <v>1.00368E-2</v>
      </c>
    </row>
    <row r="9" spans="1:8">
      <c r="A9" t="s">
        <v>10</v>
      </c>
      <c r="B9" s="11">
        <v>7.5399999999999995E-2</v>
      </c>
      <c r="C9" s="12" t="s">
        <v>10</v>
      </c>
      <c r="D9" s="3">
        <v>7.46E-2</v>
      </c>
      <c r="E9" s="1">
        <v>8.7400000000000005E-2</v>
      </c>
      <c r="F9" s="8">
        <f t="shared" si="0"/>
        <v>6.5899599999999997E-3</v>
      </c>
      <c r="G9" s="8">
        <f t="shared" si="1"/>
        <v>6.5200400000000004E-3</v>
      </c>
    </row>
    <row r="10" spans="1:8">
      <c r="A10" t="s">
        <v>51</v>
      </c>
      <c r="B10" s="11">
        <v>1E-4</v>
      </c>
      <c r="C10" s="12" t="s">
        <v>52</v>
      </c>
      <c r="D10" s="3">
        <v>0</v>
      </c>
      <c r="E10" s="1">
        <v>0</v>
      </c>
      <c r="F10" s="8">
        <f t="shared" si="0"/>
        <v>0</v>
      </c>
      <c r="G10" s="8">
        <f t="shared" si="1"/>
        <v>0</v>
      </c>
    </row>
    <row r="11" spans="1:8">
      <c r="A11" t="s">
        <v>14</v>
      </c>
      <c r="B11" s="11">
        <v>2.2800000000000001E-2</v>
      </c>
      <c r="C11" s="12" t="s">
        <v>14</v>
      </c>
      <c r="D11" s="3">
        <v>8.9999999999999998E-4</v>
      </c>
      <c r="E11" s="1">
        <v>2.5499999999999998E-2</v>
      </c>
      <c r="F11" s="8">
        <f t="shared" si="0"/>
        <v>5.8140000000000004E-4</v>
      </c>
      <c r="G11" s="8">
        <f t="shared" si="1"/>
        <v>2.2949999999999999E-5</v>
      </c>
    </row>
    <row r="12" spans="1:8">
      <c r="A12" t="s">
        <v>6</v>
      </c>
      <c r="B12" s="11">
        <v>0.33019999999999999</v>
      </c>
      <c r="C12" s="10" t="s">
        <v>6</v>
      </c>
      <c r="D12" s="3">
        <v>0.24490000000000001</v>
      </c>
      <c r="E12" s="1">
        <v>0.28770000000000001</v>
      </c>
      <c r="F12" s="8">
        <f t="shared" si="0"/>
        <v>9.4998540000000006E-2</v>
      </c>
      <c r="G12" s="8">
        <f t="shared" si="1"/>
        <v>7.045773000000001E-2</v>
      </c>
    </row>
    <row r="13" spans="1:8">
      <c r="A13" t="s">
        <v>16</v>
      </c>
      <c r="B13" s="11">
        <v>2.7E-2</v>
      </c>
      <c r="C13" s="12" t="s">
        <v>16</v>
      </c>
      <c r="D13" s="3">
        <v>8.3000000000000001E-3</v>
      </c>
      <c r="E13" s="1">
        <v>2.3599999999999999E-2</v>
      </c>
      <c r="F13" s="8">
        <f t="shared" si="0"/>
        <v>6.3719999999999998E-4</v>
      </c>
      <c r="G13" s="8">
        <f t="shared" si="1"/>
        <v>1.9588E-4</v>
      </c>
    </row>
    <row r="14" spans="1:8">
      <c r="F14" s="8">
        <f>SUM(F2:F13)</f>
        <v>0.15802174000000002</v>
      </c>
      <c r="G14" s="8">
        <f>SUM(G2:G13)</f>
        <v>0.14741263000000002</v>
      </c>
      <c r="H14" s="8">
        <f>G14-F14</f>
        <v>-1.0609110000000005E-2</v>
      </c>
    </row>
    <row r="16" spans="1:8">
      <c r="E16" t="s">
        <v>53</v>
      </c>
      <c r="F16" s="1">
        <v>0.35970000000000002</v>
      </c>
    </row>
    <row r="17" spans="1:6">
      <c r="A17" s="4"/>
      <c r="B17" s="4"/>
      <c r="C17" s="4"/>
      <c r="D17" s="4"/>
      <c r="E17" t="s">
        <v>54</v>
      </c>
      <c r="F17" s="1">
        <v>0.30859999999999999</v>
      </c>
    </row>
    <row r="18" spans="1:6" ht="15.6">
      <c r="A18" s="5"/>
      <c r="B18" s="6"/>
      <c r="C18" s="7"/>
      <c r="D18" s="7"/>
      <c r="E18" t="s">
        <v>55</v>
      </c>
      <c r="F18" s="1">
        <f>F16-F17</f>
        <v>5.1100000000000034E-2</v>
      </c>
    </row>
    <row r="19" spans="1:6" ht="15.6">
      <c r="A19" s="5"/>
      <c r="B19" s="6"/>
      <c r="C19" s="7"/>
      <c r="D19" s="7"/>
      <c r="E19" t="s">
        <v>31</v>
      </c>
      <c r="F19" s="8">
        <v>-1.0609110000000005E-2</v>
      </c>
    </row>
    <row r="20" spans="1:6" ht="15.6">
      <c r="A20" s="5"/>
      <c r="B20" s="6"/>
      <c r="C20" s="7"/>
      <c r="D20" s="7"/>
      <c r="E20" t="s">
        <v>32</v>
      </c>
      <c r="F20" s="8">
        <f>F18-F19</f>
        <v>6.1709110000000039E-2</v>
      </c>
    </row>
    <row r="21" spans="1:6" ht="15.6">
      <c r="A21" s="5"/>
      <c r="B21" s="6"/>
      <c r="C21" s="7"/>
      <c r="D21" s="7"/>
      <c r="E21" t="s">
        <v>56</v>
      </c>
      <c r="F21" s="1">
        <v>2.9999999999999997E-4</v>
      </c>
    </row>
    <row r="22" spans="1:6" ht="15.6">
      <c r="A22" s="5"/>
      <c r="B22" s="6"/>
      <c r="C22" s="7"/>
      <c r="D22" s="7"/>
      <c r="E22" t="s">
        <v>57</v>
      </c>
      <c r="F22" s="1">
        <v>3.8999999999999998E-3</v>
      </c>
    </row>
    <row r="23" spans="1:6" ht="15.6">
      <c r="A23" s="5"/>
      <c r="B23" s="6"/>
      <c r="C23" s="7"/>
      <c r="D23" s="7"/>
      <c r="F23" s="9"/>
    </row>
    <row r="24" spans="1:6" ht="15.6">
      <c r="A24" s="5"/>
      <c r="B24" s="6"/>
      <c r="C24" s="7"/>
      <c r="D24" s="7"/>
      <c r="E24" t="s">
        <v>58</v>
      </c>
      <c r="F24">
        <f>F23/17.62%</f>
        <v>0</v>
      </c>
    </row>
    <row r="25" spans="1:6" ht="15.6">
      <c r="A25" s="5"/>
      <c r="B25" s="6"/>
      <c r="C25" s="7"/>
      <c r="D25" s="7"/>
      <c r="E25" t="s">
        <v>39</v>
      </c>
      <c r="F25" s="1">
        <f>18.71%- 17.62%</f>
        <v>1.0899999999999993E-2</v>
      </c>
    </row>
    <row r="26" spans="1:6" ht="15.6">
      <c r="A26" s="5"/>
      <c r="B26" s="6"/>
      <c r="C26" s="7"/>
      <c r="D26" s="7"/>
      <c r="E26" t="s">
        <v>59</v>
      </c>
      <c r="F26">
        <f>5.11/1.09</f>
        <v>4.6880733944954125</v>
      </c>
    </row>
    <row r="27" spans="1:6" ht="15.6">
      <c r="A27" s="5"/>
      <c r="B27" s="6"/>
      <c r="C27" s="7"/>
      <c r="D27" s="7"/>
      <c r="E27" t="s">
        <v>44</v>
      </c>
      <c r="F27" s="1">
        <f>F17-F21</f>
        <v>0.30829999999999996</v>
      </c>
    </row>
    <row r="28" spans="1:6" ht="15.6">
      <c r="A28" s="5"/>
      <c r="B28" s="6"/>
      <c r="C28" s="7"/>
      <c r="D28" s="7"/>
      <c r="E28" t="s">
        <v>45</v>
      </c>
      <c r="F28" s="1">
        <f>F16-F22</f>
        <v>0.35580000000000001</v>
      </c>
    </row>
    <row r="29" spans="1:6" ht="15.6">
      <c r="A29" s="5"/>
      <c r="B29" s="6"/>
      <c r="C29" s="7"/>
      <c r="D29" s="7"/>
    </row>
    <row r="30" spans="1:6" ht="15.6">
      <c r="A30" s="5"/>
      <c r="B30" s="6"/>
      <c r="C30" s="7"/>
      <c r="D30" s="7"/>
    </row>
    <row r="31" spans="1:6" ht="15.6">
      <c r="A31" s="5"/>
      <c r="B31" s="6"/>
      <c r="C31" s="7"/>
      <c r="D31" s="7"/>
    </row>
    <row r="32" spans="1:6" ht="15.6">
      <c r="A32" s="5"/>
      <c r="B32" s="6"/>
      <c r="C32" s="7"/>
      <c r="D32" s="7"/>
    </row>
    <row r="33" spans="1:4" ht="15.6">
      <c r="A33" s="5"/>
      <c r="B33" s="6"/>
      <c r="C33" s="7"/>
      <c r="D33" s="7"/>
    </row>
    <row r="34" spans="1:4" ht="15.6">
      <c r="A34" s="5"/>
      <c r="B34" s="6"/>
      <c r="C34" s="7"/>
      <c r="D34" s="7"/>
    </row>
    <row r="35" spans="1:4" ht="15.6">
      <c r="A35" s="5"/>
      <c r="B35" s="6"/>
      <c r="C35" s="7"/>
      <c r="D35" s="7"/>
    </row>
    <row r="36" spans="1:4" ht="15.6">
      <c r="A36" s="5"/>
      <c r="B36" s="6"/>
      <c r="C36" s="7"/>
      <c r="D36" s="7"/>
    </row>
    <row r="37" spans="1:4" ht="15.6">
      <c r="A37" s="5"/>
      <c r="B37" s="6"/>
      <c r="C37" s="7"/>
      <c r="D37" s="7"/>
    </row>
    <row r="38" spans="1:4" ht="15.6">
      <c r="A38" s="5"/>
      <c r="B38" s="6"/>
      <c r="C38" s="7"/>
      <c r="D38" s="7"/>
    </row>
    <row r="39" spans="1:4" ht="15.6">
      <c r="A39" s="5"/>
      <c r="B39" s="6"/>
      <c r="C39" s="7"/>
      <c r="D39" s="7"/>
    </row>
    <row r="40" spans="1:4" ht="15.6">
      <c r="A40" s="5"/>
      <c r="B40" s="6"/>
      <c r="C40" s="7"/>
      <c r="D40" s="7"/>
    </row>
    <row r="41" spans="1:4" ht="15.6">
      <c r="A41" s="5"/>
      <c r="B41" s="6"/>
      <c r="C41" s="7"/>
      <c r="D41" s="7"/>
    </row>
    <row r="42" spans="1:4" ht="15.6">
      <c r="A42" s="5"/>
      <c r="B42" s="6"/>
      <c r="C42" s="7"/>
      <c r="D42" s="7"/>
    </row>
    <row r="43" spans="1:4" ht="15.6">
      <c r="A43" s="5"/>
      <c r="B43" s="6"/>
      <c r="C43" s="7"/>
      <c r="D43" s="7"/>
    </row>
    <row r="44" spans="1:4" ht="15.6">
      <c r="A44" s="5"/>
      <c r="B44" s="6"/>
      <c r="C44" s="7"/>
      <c r="D44" s="7"/>
    </row>
    <row r="45" spans="1:4" ht="15.6">
      <c r="A45" s="5"/>
      <c r="B45" s="6"/>
      <c r="C45" s="7"/>
      <c r="D45" s="7"/>
    </row>
    <row r="46" spans="1:4" ht="15.6">
      <c r="A46" s="5"/>
      <c r="B46" s="6"/>
      <c r="C46" s="7"/>
      <c r="D46" s="7"/>
    </row>
    <row r="47" spans="1:4" ht="15.6">
      <c r="A47" s="5"/>
      <c r="B47" s="6"/>
      <c r="C47" s="7"/>
      <c r="D47" s="7"/>
    </row>
    <row r="48" spans="1:4" ht="15.6">
      <c r="A48" s="5"/>
      <c r="B48" s="6"/>
      <c r="C48" s="7"/>
      <c r="D48" s="7"/>
    </row>
    <row r="49" spans="1:4" ht="15.6">
      <c r="A49" s="5"/>
      <c r="B49" s="6"/>
      <c r="C49" s="7"/>
      <c r="D49" s="7"/>
    </row>
    <row r="50" spans="1:4" ht="15.6">
      <c r="A50" s="5"/>
      <c r="B50" s="6"/>
      <c r="C50" s="7"/>
      <c r="D50" s="7"/>
    </row>
    <row r="51" spans="1:4" ht="15.6">
      <c r="A51" s="5"/>
      <c r="B51" s="6"/>
      <c r="C51" s="7"/>
      <c r="D51" s="7"/>
    </row>
    <row r="52" spans="1:4" ht="15.6">
      <c r="A52" s="5"/>
      <c r="B52" s="6"/>
      <c r="C52" s="7"/>
      <c r="D52" s="7"/>
    </row>
    <row r="53" spans="1:4" ht="15.6">
      <c r="A53" s="5"/>
      <c r="B53" s="6"/>
      <c r="C53" s="7"/>
      <c r="D53" s="7"/>
    </row>
    <row r="54" spans="1:4" ht="15.6">
      <c r="A54" s="5"/>
      <c r="B54" s="6"/>
      <c r="C54" s="7"/>
      <c r="D54" s="7"/>
    </row>
    <row r="55" spans="1:4" ht="15.6">
      <c r="A55" s="5"/>
      <c r="B55" s="6"/>
      <c r="C55" s="7"/>
      <c r="D55" s="7"/>
    </row>
    <row r="56" spans="1:4" ht="15.6">
      <c r="A56" s="5"/>
      <c r="B56" s="6"/>
      <c r="C56" s="7"/>
      <c r="D56" s="7"/>
    </row>
    <row r="57" spans="1:4" ht="15.6">
      <c r="A57" s="5"/>
      <c r="B57" s="6"/>
      <c r="C57" s="7"/>
      <c r="D57" s="7"/>
    </row>
    <row r="58" spans="1:4" ht="15.6">
      <c r="A58" s="5"/>
      <c r="B58" s="6"/>
      <c r="C58" s="7"/>
      <c r="D58" s="7"/>
    </row>
    <row r="59" spans="1:4" ht="15.6">
      <c r="A59" s="5"/>
      <c r="B59" s="6"/>
      <c r="C59" s="7"/>
      <c r="D59" s="7"/>
    </row>
    <row r="60" spans="1:4" ht="15.6">
      <c r="A60" s="5"/>
      <c r="B60" s="6"/>
      <c r="C60" s="7"/>
      <c r="D60" s="7"/>
    </row>
    <row r="61" spans="1:4" ht="15.6">
      <c r="A61" s="5"/>
      <c r="B61" s="6"/>
      <c r="C61" s="7"/>
      <c r="D61" s="7"/>
    </row>
    <row r="62" spans="1:4" ht="15.6">
      <c r="A62" s="5"/>
      <c r="B62" s="6"/>
      <c r="C62" s="7"/>
      <c r="D62" s="7"/>
    </row>
    <row r="63" spans="1:4" ht="15.6">
      <c r="A63" s="5"/>
      <c r="B63" s="6"/>
      <c r="C63" s="7"/>
      <c r="D63" s="7"/>
    </row>
    <row r="64" spans="1:4" ht="15.6">
      <c r="A64" s="5"/>
      <c r="B64" s="6"/>
      <c r="C64" s="7"/>
      <c r="D64" s="7"/>
    </row>
    <row r="65" spans="1:4" ht="15.6">
      <c r="A65" s="5"/>
      <c r="B65" s="6"/>
      <c r="C65" s="7"/>
      <c r="D65" s="7"/>
    </row>
    <row r="66" spans="1:4" ht="15.6">
      <c r="A66" s="5"/>
      <c r="B66" s="6"/>
      <c r="C66" s="7"/>
      <c r="D66" s="7"/>
    </row>
    <row r="67" spans="1:4" ht="15.6">
      <c r="A67" s="5"/>
      <c r="B67" s="6"/>
      <c r="C67" s="7"/>
      <c r="D67" s="7"/>
    </row>
    <row r="68" spans="1:4" ht="15.6">
      <c r="A68" s="5"/>
      <c r="B68" s="6"/>
      <c r="C68" s="7"/>
      <c r="D68" s="7"/>
    </row>
    <row r="69" spans="1:4" ht="15.6">
      <c r="A69" s="5"/>
      <c r="B69" s="6"/>
      <c r="C69" s="7"/>
      <c r="D69" s="7"/>
    </row>
    <row r="70" spans="1:4" ht="15.6">
      <c r="A70" s="5"/>
      <c r="B70" s="6"/>
      <c r="C70" s="7"/>
      <c r="D70" s="7"/>
    </row>
    <row r="71" spans="1:4" ht="15.6">
      <c r="A71" s="5"/>
      <c r="B71" s="6"/>
      <c r="C71" s="7"/>
      <c r="D71" s="7"/>
    </row>
    <row r="72" spans="1:4" ht="15.6">
      <c r="A72" s="5"/>
      <c r="B72" s="6"/>
      <c r="C72" s="7"/>
      <c r="D72" s="7"/>
    </row>
    <row r="73" spans="1:4" ht="15.6">
      <c r="A73" s="5"/>
      <c r="B73" s="6"/>
      <c r="C73" s="7"/>
      <c r="D73" s="7"/>
    </row>
    <row r="74" spans="1:4" ht="15.6">
      <c r="A74" s="5"/>
      <c r="B74" s="6"/>
      <c r="C74" s="7"/>
      <c r="D74" s="7"/>
    </row>
    <row r="75" spans="1:4" ht="15.6">
      <c r="A75" s="5"/>
      <c r="B75" s="6"/>
      <c r="C75" s="7"/>
      <c r="D75" s="7"/>
    </row>
    <row r="76" spans="1:4" ht="15.6">
      <c r="A76" s="5"/>
      <c r="B76" s="6"/>
      <c r="C76" s="7"/>
      <c r="D76" s="7"/>
    </row>
    <row r="77" spans="1:4" ht="15.6">
      <c r="A77" s="5"/>
      <c r="B77" s="6"/>
      <c r="C77" s="7"/>
      <c r="D77" s="7"/>
    </row>
    <row r="78" spans="1:4" ht="15.6">
      <c r="A78" s="5"/>
      <c r="B78" s="6"/>
      <c r="C78" s="7"/>
      <c r="D78" s="7"/>
    </row>
    <row r="79" spans="1:4" ht="15.6">
      <c r="A79" s="5"/>
      <c r="B79" s="6"/>
      <c r="C79" s="7"/>
      <c r="D79" s="7"/>
    </row>
    <row r="80" spans="1:4" ht="15.6">
      <c r="A80" s="5"/>
      <c r="B80" s="6"/>
      <c r="C80" s="7"/>
      <c r="D80" s="7"/>
    </row>
    <row r="81" spans="1:4" ht="15.6">
      <c r="A81" s="5"/>
      <c r="B81" s="6"/>
      <c r="C81" s="7"/>
      <c r="D81" s="7"/>
    </row>
    <row r="82" spans="1:4" ht="15.6">
      <c r="A82" s="5"/>
      <c r="B82" s="6"/>
      <c r="C82" s="7"/>
      <c r="D82" s="7"/>
    </row>
    <row r="83" spans="1:4" ht="15.6">
      <c r="A83" s="5"/>
      <c r="B83" s="6"/>
      <c r="C83" s="7"/>
      <c r="D83" s="7"/>
    </row>
    <row r="84" spans="1:4" ht="15.6">
      <c r="A84" s="5"/>
      <c r="B84" s="6"/>
      <c r="C84" s="7"/>
      <c r="D84" s="7"/>
    </row>
    <row r="85" spans="1:4" ht="15.6">
      <c r="A85" s="5"/>
      <c r="B85" s="6"/>
      <c r="C85" s="7"/>
      <c r="D85" s="7"/>
    </row>
    <row r="86" spans="1:4" ht="15.6">
      <c r="A86" s="5"/>
      <c r="B86" s="6"/>
      <c r="C86" s="6"/>
      <c r="D86" s="6"/>
    </row>
    <row r="87" spans="1:4" ht="15.6">
      <c r="A87" s="5"/>
      <c r="B87" s="6"/>
      <c r="C87" s="7"/>
      <c r="D87" s="7"/>
    </row>
    <row r="88" spans="1:4" ht="15.6">
      <c r="A88" s="5"/>
      <c r="B88" s="6"/>
      <c r="C88" s="6"/>
      <c r="D88" s="6"/>
    </row>
    <row r="89" spans="1:4" ht="15.6">
      <c r="A89" s="5"/>
      <c r="B89" s="6"/>
      <c r="C89" s="7"/>
      <c r="D89" s="7"/>
    </row>
    <row r="90" spans="1:4" ht="15.6">
      <c r="A90" s="5"/>
      <c r="B90" s="6"/>
      <c r="C90" s="7"/>
      <c r="D90" s="7"/>
    </row>
    <row r="91" spans="1:4" ht="15.6">
      <c r="A91" s="5"/>
      <c r="B91" s="6"/>
      <c r="C91" s="7"/>
      <c r="D91" s="7"/>
    </row>
    <row r="92" spans="1:4" ht="15.6">
      <c r="A92" s="5"/>
      <c r="B92" s="6"/>
      <c r="C92" s="7"/>
      <c r="D92" s="7"/>
    </row>
    <row r="93" spans="1:4" ht="15.6">
      <c r="A93" s="5"/>
      <c r="B93" s="6"/>
      <c r="C93" s="7"/>
      <c r="D93" s="7"/>
    </row>
    <row r="94" spans="1:4" ht="15.6">
      <c r="A94" s="5"/>
      <c r="B94" s="6"/>
      <c r="C94" s="7"/>
      <c r="D94" s="7"/>
    </row>
    <row r="95" spans="1:4" ht="15.6">
      <c r="A95" s="5"/>
      <c r="B95" s="6"/>
      <c r="C95" s="7"/>
      <c r="D95" s="7"/>
    </row>
    <row r="96" spans="1:4" ht="15.6">
      <c r="A96" s="5"/>
      <c r="B96" s="6"/>
      <c r="C96" s="7"/>
      <c r="D96" s="7"/>
    </row>
    <row r="97" spans="1:4" ht="15.6">
      <c r="A97" s="5"/>
      <c r="B97" s="6"/>
      <c r="C97" s="7"/>
      <c r="D97" s="7"/>
    </row>
    <row r="98" spans="1:4" ht="15.6">
      <c r="A98" s="5"/>
      <c r="B98" s="6"/>
      <c r="C98" s="7"/>
      <c r="D98" s="7"/>
    </row>
    <row r="99" spans="1:4" ht="15.6">
      <c r="A99" s="5"/>
      <c r="B99" s="6"/>
      <c r="C99" s="7"/>
      <c r="D99" s="7"/>
    </row>
    <row r="100" spans="1:4" ht="15.6">
      <c r="A100" s="5"/>
      <c r="B100" s="6"/>
      <c r="C100" s="7"/>
      <c r="D100" s="7"/>
    </row>
    <row r="101" spans="1:4" ht="15.6">
      <c r="A101" s="5"/>
      <c r="B101" s="6"/>
      <c r="C101" s="7"/>
      <c r="D101" s="7"/>
    </row>
    <row r="102" spans="1:4" ht="15.6">
      <c r="A102" s="5"/>
      <c r="B102" s="6"/>
      <c r="C102" s="7"/>
      <c r="D102" s="7"/>
    </row>
    <row r="103" spans="1:4" ht="15.6">
      <c r="A103" s="5"/>
      <c r="B103" s="6"/>
      <c r="C103" s="7"/>
      <c r="D103" s="7"/>
    </row>
    <row r="104" spans="1:4" ht="15.6">
      <c r="A104" s="5"/>
      <c r="B104" s="6"/>
      <c r="C104" s="7"/>
      <c r="D104" s="7"/>
    </row>
    <row r="105" spans="1:4" ht="15.6">
      <c r="A105" s="5"/>
      <c r="B105" s="6"/>
      <c r="C105" s="7"/>
      <c r="D105" s="7"/>
    </row>
    <row r="106" spans="1:4" ht="15.6">
      <c r="A106" s="5"/>
      <c r="B106" s="6"/>
      <c r="C106" s="6"/>
      <c r="D106" s="6"/>
    </row>
    <row r="107" spans="1:4" ht="15.6">
      <c r="A107" s="5"/>
      <c r="B107" s="6"/>
      <c r="C107" s="7"/>
      <c r="D107" s="7"/>
    </row>
    <row r="108" spans="1:4" ht="15.6">
      <c r="A108" s="5"/>
      <c r="B108" s="6"/>
      <c r="C108" s="7"/>
      <c r="D108" s="7"/>
    </row>
    <row r="109" spans="1:4" ht="15.6">
      <c r="A109" s="5"/>
      <c r="B109" s="6"/>
      <c r="C109" s="7"/>
      <c r="D109" s="7"/>
    </row>
    <row r="110" spans="1:4" ht="15.6">
      <c r="A110" s="5"/>
      <c r="B110" s="6"/>
      <c r="C110" s="7"/>
      <c r="D110" s="7"/>
    </row>
    <row r="111" spans="1:4" ht="15.6">
      <c r="A111" s="5"/>
      <c r="B111" s="6"/>
      <c r="C111" s="7"/>
      <c r="D111" s="7"/>
    </row>
    <row r="112" spans="1:4" ht="15.6">
      <c r="A112" s="5"/>
      <c r="B112" s="6"/>
      <c r="C112" s="7"/>
      <c r="D112" s="7"/>
    </row>
    <row r="113" spans="1:4" ht="15.6">
      <c r="A113" s="5"/>
      <c r="B113" s="6"/>
      <c r="C113" s="7"/>
      <c r="D113" s="7"/>
    </row>
  </sheetData>
  <sortState xmlns:xlrd2="http://schemas.microsoft.com/office/spreadsheetml/2017/richdata2" ref="A2:B14">
    <sortCondition ref="A1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Pahuja</dc:creator>
  <cp:keywords/>
  <dc:description/>
  <cp:lastModifiedBy/>
  <cp:revision/>
  <dcterms:created xsi:type="dcterms:W3CDTF">2024-11-23T23:41:58Z</dcterms:created>
  <dcterms:modified xsi:type="dcterms:W3CDTF">2025-12-24T01:56:05Z</dcterms:modified>
  <cp:category/>
  <cp:contentStatus/>
</cp:coreProperties>
</file>